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1" autoFilterDateGrouping="1"/>
  </bookViews>
  <sheets>
    <sheet name="Febrero" sheetId="1" state="visible" r:id="rId1"/>
    <sheet name="Marz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family val="2"/>
      <color rgb="FF000000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rgb="FFFFE599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EA9999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pivotButton="0" quotePrefix="0" xfId="0"/>
    <xf numFmtId="0" fontId="1" fillId="3" borderId="1" applyAlignment="1" pivotButton="0" quotePrefix="0" xfId="0">
      <alignment horizontal="center"/>
    </xf>
    <xf numFmtId="0" fontId="1" fillId="3" borderId="1" pivotButton="0" quotePrefix="0" xfId="0"/>
    <xf numFmtId="0" fontId="1" fillId="4" borderId="1" applyAlignment="1" pivotButton="0" quotePrefix="0" xfId="0">
      <alignment horizontal="center"/>
    </xf>
    <xf numFmtId="2" fontId="1" fillId="4" borderId="1" applyAlignment="1" pivotButton="0" quotePrefix="0" xfId="0">
      <alignment horizontal="center"/>
    </xf>
    <xf numFmtId="0" fontId="1" fillId="0" borderId="0" pivotButton="0" quotePrefix="0" xfId="0"/>
    <xf numFmtId="0" fontId="1" fillId="5" borderId="0" pivotButton="0" quotePrefix="0" xfId="0"/>
    <xf numFmtId="0" fontId="2" fillId="6" borderId="2" applyAlignment="1" pivotButton="0" quotePrefix="0" xfId="0">
      <alignment horizontal="center" wrapText="1"/>
    </xf>
    <xf numFmtId="0" fontId="2" fillId="7" borderId="3" applyAlignment="1" pivotButton="0" quotePrefix="0" xfId="0">
      <alignment horizontal="center" wrapText="1"/>
    </xf>
    <xf numFmtId="0" fontId="2" fillId="6" borderId="3" applyAlignment="1" pivotButton="0" quotePrefix="0" xfId="0">
      <alignment horizontal="center" wrapText="1"/>
    </xf>
    <xf numFmtId="0" fontId="2" fillId="7" borderId="2" applyAlignment="1" pivotButton="0" quotePrefix="0" xfId="0">
      <alignment horizontal="center" wrapText="1"/>
    </xf>
    <xf numFmtId="0" fontId="2" fillId="8" borderId="3" applyAlignment="1" pivotButton="0" quotePrefix="0" xfId="0">
      <alignment horizontal="center" wrapText="1"/>
    </xf>
    <xf numFmtId="0" fontId="2" fillId="6" borderId="4" applyAlignment="1" pivotButton="0" quotePrefix="0" xfId="0">
      <alignment horizontal="center" wrapText="1"/>
    </xf>
    <xf numFmtId="0" fontId="2" fillId="8" borderId="5" applyAlignment="1" pivotButton="0" quotePrefix="0" xfId="0">
      <alignment horizontal="center" wrapText="1"/>
    </xf>
    <xf numFmtId="0" fontId="2" fillId="6" borderId="5" applyAlignment="1" pivotButton="0" quotePrefix="0" xfId="0">
      <alignment horizontal="center" wrapText="1"/>
    </xf>
    <xf numFmtId="0" fontId="2" fillId="8" borderId="4" applyAlignment="1" pivotButton="0" quotePrefix="0" xfId="0">
      <alignment horizontal="center" wrapText="1"/>
    </xf>
  </cellXfs>
  <cellStyles count="1">
    <cellStyle name="Normal" xfId="0" builtinId="0"/>
  </cellStyles>
  <dxfs count="4">
    <dxf>
      <fill>
        <patternFill patternType="solid">
          <fgColor rgb="FFEA9999"/>
          <bgColor rgb="FFEA9999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6AA84F"/>
          <bgColor rgb="FF6AA84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14"/>
  <sheetViews>
    <sheetView workbookViewId="0">
      <selection activeCell="A1" sqref="A1"/>
    </sheetView>
  </sheetViews>
  <sheetFormatPr baseColWidth="10" defaultColWidth="12.6640625" defaultRowHeight="15.75" customHeight="1"/>
  <cols>
    <col width="28.109375" customWidth="1" min="1" max="1"/>
    <col width="19.77734375" customWidth="1" min="7" max="7"/>
    <col width="18" customWidth="1" min="8" max="8"/>
    <col width="7.21875" customWidth="1" min="9" max="9"/>
  </cols>
  <sheetData>
    <row r="1">
      <c r="A1" s="1" t="inlineStr">
        <is>
          <t xml:space="preserve">Comentarios: PR a 3 repes </t>
        </is>
      </c>
      <c r="B1" s="2" t="inlineStr">
        <is>
          <t>Carlitos</t>
        </is>
      </c>
      <c r="C1" s="2" t="inlineStr">
        <is>
          <t>Yago</t>
        </is>
      </c>
      <c r="D1" s="2" t="inlineStr">
        <is>
          <t>Nikola</t>
        </is>
      </c>
      <c r="E1" s="2" t="inlineStr">
        <is>
          <t>Maximo</t>
        </is>
      </c>
      <c r="F1" s="2" t="inlineStr">
        <is>
          <t>Minimo</t>
        </is>
      </c>
      <c r="G1" s="2" t="inlineStr">
        <is>
          <t>Pesos Max Convalidados</t>
        </is>
      </c>
      <c r="H1" s="2" t="inlineStr">
        <is>
          <t>Cometarios</t>
        </is>
      </c>
      <c r="I1" s="2" t="inlineStr">
        <is>
          <t>Pruebas</t>
        </is>
      </c>
    </row>
    <row r="2">
      <c r="A2" s="3" t="inlineStr">
        <is>
          <t xml:space="preserve">Press Banca </t>
        </is>
      </c>
      <c r="B2" s="4" t="n">
        <v>60</v>
      </c>
      <c r="C2" s="4" t="n">
        <v>80</v>
      </c>
      <c r="D2" s="4" t="n">
        <v>65</v>
      </c>
      <c r="E2" s="4">
        <f>INDEX($B$1:$D$1, MATCH(MAX(B2:D2), B2:D2, 0))</f>
        <v/>
      </c>
      <c r="F2" s="4">
        <f>INDEX($B$1:$D$1, MATCH(MIN(B2:D2), B2:D2, 0))</f>
        <v/>
      </c>
      <c r="G2" s="5">
        <f>(MAX(B2:D2))/$B$14</f>
        <v/>
      </c>
      <c r="H2" s="5" t="n"/>
      <c r="I2" s="5" t="n"/>
    </row>
    <row r="3">
      <c r="A3" s="3" t="inlineStr">
        <is>
          <t>Sentadillas</t>
        </is>
      </c>
      <c r="B3" s="4" t="n">
        <v>80</v>
      </c>
      <c r="C3" s="4" t="inlineStr">
        <is>
          <t>a deber</t>
        </is>
      </c>
      <c r="D3" s="4" t="n">
        <v>70</v>
      </c>
      <c r="E3" s="4">
        <f>INDEX($B$1:$D$1, MATCH(MAX(B3:D3), B3:D3, 0))</f>
        <v/>
      </c>
      <c r="F3" s="4">
        <f>INDEX($B$1:$D$1, MATCH(MIN(B3:D3), B3:D3, 0))</f>
        <v/>
      </c>
      <c r="G3" s="5">
        <f>(MAX(B3:D3))/$B$14</f>
        <v/>
      </c>
      <c r="H3" s="5" t="n"/>
      <c r="I3" s="5" t="n"/>
    </row>
    <row r="4">
      <c r="A4" s="3" t="inlineStr">
        <is>
          <t>Curl de bicep (Barra Z)</t>
        </is>
      </c>
      <c r="B4" s="4" t="n">
        <v>20</v>
      </c>
      <c r="C4" s="4" t="inlineStr">
        <is>
          <t xml:space="preserve">no me acuerdo </t>
        </is>
      </c>
      <c r="D4" s="4" t="n">
        <v>15</v>
      </c>
      <c r="E4" s="4">
        <f>INDEX($B$1:$D$1, MATCH(MAX(B4:D4), B4:D4, 0))</f>
        <v/>
      </c>
      <c r="F4" s="4">
        <f>INDEX($B$1:$D$1, MATCH(MIN(B4:D4), B4:D4, 0))</f>
        <v/>
      </c>
      <c r="G4" s="5">
        <f>(MAX(B4:D4))/$B$14</f>
        <v/>
      </c>
      <c r="H4" s="5" t="n"/>
      <c r="I4" s="5" t="n"/>
    </row>
    <row r="5">
      <c r="A5" s="3" t="inlineStr">
        <is>
          <t>Dominadas</t>
        </is>
      </c>
      <c r="B5" s="4" t="n">
        <v>24.5</v>
      </c>
      <c r="C5" s="4" t="n">
        <v>80</v>
      </c>
      <c r="D5" s="4" t="n">
        <v>5</v>
      </c>
      <c r="E5" s="4">
        <f>INDEX($B$1:$D$1, MATCH(MAX(B5:D5), B5:D5, 0))</f>
        <v/>
      </c>
      <c r="F5" s="4">
        <f>INDEX($B$1:$D$1, MATCH(MIN(B5:D5), B5:D5, 0))</f>
        <v/>
      </c>
      <c r="G5" s="5">
        <f>(MAX(B5:D5))/$B$14</f>
        <v/>
      </c>
      <c r="H5" s="5" t="inlineStr">
        <is>
          <t xml:space="preserve">24.5 con peso asistido </t>
        </is>
      </c>
      <c r="I5" s="5" t="n"/>
    </row>
    <row r="6">
      <c r="A6" s="3" t="inlineStr">
        <is>
          <t>Extension de tricep</t>
        </is>
      </c>
      <c r="B6" s="4" t="n">
        <v>21.5</v>
      </c>
      <c r="C6" s="4" t="n">
        <v>26</v>
      </c>
      <c r="D6" s="4" t="n">
        <v>20</v>
      </c>
      <c r="E6" s="4">
        <f>INDEX($B$1:$D$1, MATCH(MAX(B6:D6), B6:D6, 0))</f>
        <v/>
      </c>
      <c r="F6" s="4">
        <f>INDEX($B$1:$D$1, MATCH(MIN(B6:D6), B6:D6, 0))</f>
        <v/>
      </c>
      <c r="G6" s="5">
        <f>(MAX(B6:D6))/$B$14</f>
        <v/>
      </c>
      <c r="H6" s="5" t="n"/>
      <c r="I6" s="5" t="n"/>
    </row>
    <row r="7">
      <c r="A7" s="3" t="inlineStr">
        <is>
          <t>Extencion de quiadriceps</t>
        </is>
      </c>
      <c r="B7" s="4" t="n">
        <v>49.5</v>
      </c>
      <c r="C7" s="4" t="n">
        <v>30</v>
      </c>
      <c r="D7" s="4" t="n">
        <v>50</v>
      </c>
      <c r="E7" s="4">
        <f>INDEX($B$1:$D$1, MATCH(MAX(B7:D7), B7:D7, 0))</f>
        <v/>
      </c>
      <c r="F7" s="4">
        <f>INDEX($B$1:$D$1, MATCH(MIN(B7:D7), B7:D7, 0))</f>
        <v/>
      </c>
      <c r="G7" s="5">
        <f>(MAX(B7:D7))/$B$14</f>
        <v/>
      </c>
      <c r="H7" s="5" t="n"/>
      <c r="I7" s="5" t="n"/>
    </row>
    <row r="8">
      <c r="A8" s="3" t="inlineStr">
        <is>
          <t>Curl de quadriceps</t>
        </is>
      </c>
      <c r="B8" s="4" t="n">
        <v>31.5</v>
      </c>
      <c r="C8" s="4" t="inlineStr">
        <is>
          <t>a deber</t>
        </is>
      </c>
      <c r="D8" s="4" t="n">
        <v>50</v>
      </c>
      <c r="E8" s="4">
        <f>INDEX($B$1:$D$1, MATCH(MAX(B8:D8), B8:D8, 0))</f>
        <v/>
      </c>
      <c r="F8" s="4">
        <f>INDEX($B$1:$D$1, MATCH(MIN(B8:D8), B8:D8, 0))</f>
        <v/>
      </c>
      <c r="G8" s="5">
        <f>(MAX(B8:D8))/$B$14</f>
        <v/>
      </c>
      <c r="H8" s="5" t="n"/>
      <c r="I8" s="5" t="n"/>
    </row>
    <row r="9">
      <c r="A9" s="3" t="inlineStr">
        <is>
          <t>Press de Pierna</t>
        </is>
      </c>
      <c r="B9" s="4" t="n">
        <v>100</v>
      </c>
      <c r="C9" s="4" t="n">
        <v>50</v>
      </c>
      <c r="D9" s="4" t="n">
        <v>140</v>
      </c>
      <c r="E9" s="4">
        <f>INDEX($B$1:$D$1, MATCH(MAX(B9:D9), B9:D9, 0))</f>
        <v/>
      </c>
      <c r="F9" s="4">
        <f>INDEX($B$1:$D$1, MATCH(MIN(B9:D9), B9:D9, 0))</f>
        <v/>
      </c>
      <c r="G9" s="5">
        <f>(MAX(B9:D9))/$B$14</f>
        <v/>
      </c>
      <c r="H9" s="5" t="n"/>
      <c r="I9" s="5" t="n"/>
    </row>
    <row r="10">
      <c r="A10" s="3" t="inlineStr">
        <is>
          <t>Press militar</t>
        </is>
      </c>
      <c r="B10" s="4" t="inlineStr">
        <is>
          <t>a deber</t>
        </is>
      </c>
      <c r="C10" s="4" t="inlineStr">
        <is>
          <t>no me acuerdo</t>
        </is>
      </c>
      <c r="D10" s="4" t="inlineStr">
        <is>
          <t>a deber</t>
        </is>
      </c>
      <c r="E10" s="4">
        <f>INDEX($B$1:$D$1, MATCH(MAX(B10:D10), B10:D10, 0))</f>
        <v/>
      </c>
      <c r="F10" s="4">
        <f>INDEX($B$1:$D$1, MATCH(MIN(B10:D10), B10:D10, 0))</f>
        <v/>
      </c>
      <c r="G10" s="5">
        <f>(MAX(B10:D10))/$B$14</f>
        <v/>
      </c>
      <c r="H10" s="5" t="n"/>
      <c r="I10" s="5" t="n"/>
    </row>
    <row r="11">
      <c r="A11" s="3" t="inlineStr">
        <is>
          <t>Remo</t>
        </is>
      </c>
      <c r="B11" s="4" t="n">
        <v>50</v>
      </c>
      <c r="C11" s="4" t="n">
        <v>70</v>
      </c>
      <c r="D11" s="4" t="n">
        <v>62.5</v>
      </c>
      <c r="E11" s="4">
        <f>INDEX($B$1:$D$1, MATCH(MAX(B11:D11), B11:D11, 0))</f>
        <v/>
      </c>
      <c r="F11" s="4">
        <f>INDEX($B$1:$D$1, MATCH(MIN(B11:D11), B11:D11, 0))</f>
        <v/>
      </c>
      <c r="G11" s="5">
        <f>(MAX(B11:D11))/$B$14</f>
        <v/>
      </c>
      <c r="H11" s="5" t="n"/>
      <c r="I11" s="5" t="n"/>
    </row>
    <row r="12">
      <c r="A12" s="3" t="inlineStr">
        <is>
          <t>Peso Muerto</t>
        </is>
      </c>
      <c r="B12" s="4" t="inlineStr">
        <is>
          <t>a deber</t>
        </is>
      </c>
      <c r="C12" s="4" t="n">
        <v>25</v>
      </c>
      <c r="D12" s="4" t="inlineStr">
        <is>
          <t>a deber</t>
        </is>
      </c>
      <c r="E12" s="4">
        <f>INDEX($B$1:$D$1, MATCH(MAX(B12:D12), B12:D12, 0))</f>
        <v/>
      </c>
      <c r="F12" s="4">
        <f>INDEX($B$1:$D$1, MATCH(MIN(B12:D12), B12:D12, 0))</f>
        <v/>
      </c>
      <c r="G12" s="5">
        <f>(MAX(B12:D12))/$B$14</f>
        <v/>
      </c>
      <c r="H12" s="5" t="n"/>
      <c r="I12" s="5" t="n"/>
    </row>
    <row r="13">
      <c r="A13" s="6" t="inlineStr">
        <is>
          <t xml:space="preserve">Push de hombro </t>
        </is>
      </c>
    </row>
    <row r="14">
      <c r="A14" s="6" t="inlineStr">
        <is>
          <t xml:space="preserve">Hito 1 Carlitos (Actualizable) </t>
        </is>
      </c>
      <c r="B14" s="7" t="n">
        <v>69</v>
      </c>
      <c r="C14" s="6" t="n"/>
    </row>
  </sheetData>
  <conditionalFormatting sqref="B2:D12">
    <cfRule type="expression" priority="1" dxfId="1">
      <formula>AND(ISNUMBER(B2:D12),B2:D12&gt;$B$14)</formula>
    </cfRule>
    <cfRule type="expression" priority="2" dxfId="0">
      <formula>ISTEXT(B2:D12)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17"/>
  <sheetViews>
    <sheetView tabSelected="1" workbookViewId="0">
      <selection activeCell="E15" sqref="E15"/>
    </sheetView>
  </sheetViews>
  <sheetFormatPr baseColWidth="10" defaultColWidth="12.6640625" defaultRowHeight="15.75" customHeight="1"/>
  <cols>
    <col width="28.109375" customWidth="1" min="1" max="1"/>
    <col width="19.77734375" customWidth="1" min="7" max="7"/>
    <col width="18" customWidth="1" min="8" max="8"/>
    <col width="7.21875" customWidth="1" min="9" max="9"/>
  </cols>
  <sheetData>
    <row r="1" thickBot="1">
      <c r="A1" s="1" t="inlineStr">
        <is>
          <t xml:space="preserve">Comentarios: PR a 5 repes </t>
        </is>
      </c>
      <c r="B1" s="2" t="inlineStr">
        <is>
          <t>Carlitos</t>
        </is>
      </c>
      <c r="C1" s="2" t="inlineStr">
        <is>
          <t>Yago</t>
        </is>
      </c>
      <c r="D1" s="2" t="inlineStr">
        <is>
          <t>Nikola</t>
        </is>
      </c>
      <c r="E1" s="2" t="inlineStr">
        <is>
          <t>Maximo</t>
        </is>
      </c>
      <c r="F1" s="2" t="inlineStr">
        <is>
          <t>Minimo</t>
        </is>
      </c>
      <c r="G1" s="2" t="inlineStr">
        <is>
          <t>Pesos Max Convalidados</t>
        </is>
      </c>
      <c r="H1" s="2" t="inlineStr">
        <is>
          <t>Comentarios</t>
        </is>
      </c>
      <c r="I1" s="2" t="inlineStr">
        <is>
          <t>Pruebas</t>
        </is>
      </c>
    </row>
    <row r="2" ht="13.8" customHeight="1" thickBot="1">
      <c r="A2" s="3" t="inlineStr">
        <is>
          <t xml:space="preserve">Press Banca </t>
        </is>
      </c>
      <c r="B2" s="8" t="n">
        <v>120</v>
      </c>
      <c r="C2" s="9" t="n">
        <v>80</v>
      </c>
      <c r="D2" s="10" t="n">
        <v>65</v>
      </c>
      <c r="E2" s="4">
        <f>INDEX($B$1:$D$1, MATCH(MAX(B2:D2), B2:D2, 0))</f>
        <v/>
      </c>
      <c r="F2" s="4">
        <f>INDEX($B$1:$D$1, MATCH(MIN(B2:D2), B2:D2, 0))</f>
        <v/>
      </c>
      <c r="G2" s="5">
        <f>(MAX(B2:D2))/$B$17</f>
        <v/>
      </c>
      <c r="H2" s="5" t="n"/>
      <c r="I2" s="5" t="n"/>
    </row>
    <row r="3" ht="13.8" customHeight="1" thickBot="1">
      <c r="A3" s="3" t="inlineStr">
        <is>
          <t>Sentadillas</t>
        </is>
      </c>
      <c r="B3" s="11" t="n">
        <v>80</v>
      </c>
      <c r="C3" s="12" t="n">
        <v>0</v>
      </c>
      <c r="D3" s="9" t="n">
        <v>70</v>
      </c>
      <c r="E3" s="4">
        <f>INDEX($B$1:$D$1, MATCH(MAX(B3:D3), B3:D3, 0))</f>
        <v/>
      </c>
      <c r="F3" s="4">
        <f>INDEX($B$1:$D$1, MATCH(MIN(B3:D3), B3:D3, 0))</f>
        <v/>
      </c>
      <c r="G3" s="5">
        <f>(MAX(B3:D3))/$B$17</f>
        <v/>
      </c>
      <c r="H3" s="5" t="n"/>
      <c r="I3" s="5" t="n"/>
    </row>
    <row r="4" ht="13.8" customHeight="1" thickBot="1">
      <c r="A4" s="3" t="inlineStr">
        <is>
          <t>Curl de bicep (Barra Z)</t>
        </is>
      </c>
      <c r="B4" s="13" t="n">
        <v>20</v>
      </c>
      <c r="C4" s="14" t="n">
        <v>0</v>
      </c>
      <c r="D4" s="15" t="n">
        <v>15</v>
      </c>
      <c r="E4" s="4">
        <f>INDEX($B$1:$D$1, MATCH(MAX(B4:D4), B4:D4, 0))</f>
        <v/>
      </c>
      <c r="F4" s="4">
        <f>INDEX($B$1:$D$1, MATCH(MIN(B4:D4), B4:D4, 0))</f>
        <v/>
      </c>
      <c r="G4" s="5">
        <f>(MAX(B4:D4))/$B$17</f>
        <v/>
      </c>
      <c r="H4" s="5" t="n"/>
      <c r="I4" s="5" t="n"/>
    </row>
    <row r="5" ht="13.8" customHeight="1" thickBot="1">
      <c r="A5" s="3" t="inlineStr">
        <is>
          <t>Dominadas</t>
        </is>
      </c>
      <c r="B5" s="8" t="inlineStr">
        <is>
          <t>24.5</t>
        </is>
      </c>
      <c r="C5" s="9" t="n">
        <v>80</v>
      </c>
      <c r="D5" s="10" t="n">
        <v>5</v>
      </c>
      <c r="E5" s="4">
        <f>INDEX($B$1:$D$1, MATCH(MAX(B5:D5), B5:D5, 0))</f>
        <v/>
      </c>
      <c r="F5" s="4">
        <f>INDEX($B$1:$D$1, MATCH(MIN(B5:D5), B5:D5, 0))</f>
        <v/>
      </c>
      <c r="G5" s="5">
        <f>(MAX(B5:D5))/$B$17</f>
        <v/>
      </c>
      <c r="H5" s="5" t="n"/>
      <c r="I5" s="5" t="n"/>
    </row>
    <row r="6" ht="13.8" customHeight="1" thickBot="1">
      <c r="A6" s="3" t="inlineStr">
        <is>
          <t>Extension de tricep</t>
        </is>
      </c>
      <c r="B6" s="13" t="inlineStr">
        <is>
          <t>21.5</t>
        </is>
      </c>
      <c r="C6" s="15" t="n">
        <v>26</v>
      </c>
      <c r="D6" s="15" t="n">
        <v>20</v>
      </c>
      <c r="E6" s="4">
        <f>INDEX($B$1:$D$1, MATCH(MAX(B6:D6), B6:D6, 0))</f>
        <v/>
      </c>
      <c r="F6" s="4">
        <f>INDEX($B$1:$D$1, MATCH(MIN(B6:D6), B6:D6, 0))</f>
        <v/>
      </c>
      <c r="G6" s="5">
        <f>(MAX(B6:D6))/$B$17</f>
        <v/>
      </c>
      <c r="H6" s="5" t="n"/>
      <c r="I6" s="5" t="n"/>
    </row>
    <row r="7" ht="13.8" customHeight="1" thickBot="1">
      <c r="A7" s="3" t="inlineStr">
        <is>
          <t>Extencion de quiadriceps</t>
        </is>
      </c>
      <c r="B7" s="8" t="inlineStr">
        <is>
          <t>49.5</t>
        </is>
      </c>
      <c r="C7" s="10" t="n">
        <v>30</v>
      </c>
      <c r="D7" s="10" t="n">
        <v>50</v>
      </c>
      <c r="E7" s="4">
        <f>INDEX($B$1:$D$1, MATCH(MAX(B7:D7), B7:D7, 0))</f>
        <v/>
      </c>
      <c r="F7" s="4">
        <f>INDEX($B$1:$D$1, MATCH(MIN(B7:D7), B7:D7, 0))</f>
        <v/>
      </c>
      <c r="G7" s="5">
        <f>(MAX(B7:D7))/$B$17</f>
        <v/>
      </c>
      <c r="H7" s="5" t="n"/>
      <c r="I7" s="5" t="n"/>
    </row>
    <row r="8" ht="13.8" customHeight="1" thickBot="1">
      <c r="A8" s="3" t="inlineStr">
        <is>
          <t>Curl de quadriceps</t>
        </is>
      </c>
      <c r="B8" s="13" t="inlineStr">
        <is>
          <t>31.5</t>
        </is>
      </c>
      <c r="C8" s="14" t="n">
        <v>0</v>
      </c>
      <c r="D8" s="15" t="n">
        <v>50</v>
      </c>
      <c r="E8" s="4">
        <f>INDEX($B$1:$D$1, MATCH(MAX(B8:D8), B8:D8, 0))</f>
        <v/>
      </c>
      <c r="F8" s="4">
        <f>INDEX($B$1:$D$1, MATCH(MIN(B8:D8), B8:D8, 0))</f>
        <v/>
      </c>
      <c r="G8" s="5">
        <f>(MAX(B8:D8))/$B$17</f>
        <v/>
      </c>
      <c r="H8" s="5" t="n"/>
      <c r="I8" s="5" t="n"/>
    </row>
    <row r="9" ht="13.8" customHeight="1" thickBot="1">
      <c r="A9" s="3" t="inlineStr">
        <is>
          <t>Press de Pierna</t>
        </is>
      </c>
      <c r="B9" s="11" t="n">
        <v>100</v>
      </c>
      <c r="C9" s="10" t="n">
        <v>50</v>
      </c>
      <c r="D9" s="9" t="n">
        <v>140</v>
      </c>
      <c r="E9" s="4">
        <f>INDEX($B$1:$D$1, MATCH(MAX(B9:D9), B9:D9, 0))</f>
        <v/>
      </c>
      <c r="F9" s="4">
        <f>INDEX($B$1:$D$1, MATCH(MIN(B9:D9), B9:D9, 0))</f>
        <v/>
      </c>
      <c r="G9" s="5">
        <f>(MAX(B9:D9))/$B$17</f>
        <v/>
      </c>
      <c r="H9" s="5" t="n"/>
      <c r="I9" s="5" t="n"/>
    </row>
    <row r="10" ht="13.8" customHeight="1" thickBot="1">
      <c r="A10" s="3" t="inlineStr">
        <is>
          <t>Press militar</t>
        </is>
      </c>
      <c r="B10" s="16" t="n">
        <v>0</v>
      </c>
      <c r="C10" s="14" t="n">
        <v>0</v>
      </c>
      <c r="D10" s="14" t="n">
        <v>0</v>
      </c>
      <c r="E10" s="4">
        <f>INDEX($B$1:$D$1, MATCH(MAX(B10:D10), B10:D10, 0))</f>
        <v/>
      </c>
      <c r="F10" s="4">
        <f>INDEX($B$1:$D$1, MATCH(MIN(B10:D10), B10:D10, 0))</f>
        <v/>
      </c>
      <c r="G10" s="5">
        <f>(MAX(B10:D10))/$B$17</f>
        <v/>
      </c>
      <c r="H10" s="5" t="n"/>
      <c r="I10" s="5" t="n"/>
    </row>
    <row r="11" ht="13.8" customHeight="1" thickBot="1">
      <c r="A11" s="3" t="inlineStr">
        <is>
          <t>Remo</t>
        </is>
      </c>
      <c r="B11" s="8" t="n">
        <v>50</v>
      </c>
      <c r="C11" s="9" t="n">
        <v>70</v>
      </c>
      <c r="D11" s="10" t="inlineStr">
        <is>
          <t>62.5</t>
        </is>
      </c>
      <c r="E11" s="4">
        <f>INDEX($B$1:$D$1, MATCH(MAX(B11:D11), B11:D11, 0))</f>
        <v/>
      </c>
      <c r="F11" s="4">
        <f>INDEX($B$1:$D$1, MATCH(MIN(B11:D11), B11:D11, 0))</f>
        <v/>
      </c>
      <c r="G11" s="5">
        <f>(MAX(B11:D11))/$B$17</f>
        <v/>
      </c>
      <c r="H11" s="5" t="n"/>
      <c r="I11" s="5" t="n"/>
    </row>
    <row r="12" ht="13.8" customHeight="1" thickBot="1">
      <c r="A12" s="3" t="inlineStr">
        <is>
          <t>Peso Muerto</t>
        </is>
      </c>
      <c r="B12" s="16" t="n">
        <v>0</v>
      </c>
      <c r="C12" s="15" t="n">
        <v>25</v>
      </c>
      <c r="D12" s="14" t="n">
        <v>0</v>
      </c>
      <c r="E12" s="4">
        <f>INDEX($B$1:$D$1, MATCH(MAX(B12:D12), B12:D12, 0))</f>
        <v/>
      </c>
      <c r="F12" s="4">
        <f>INDEX($B$1:$D$1, MATCH(MIN(B12:D12), B12:D12, 0))</f>
        <v/>
      </c>
      <c r="G12" s="5">
        <f>(MAX(B12:D12))/$B$17</f>
        <v/>
      </c>
      <c r="H12" s="5" t="n"/>
      <c r="I12" s="5" t="n"/>
    </row>
    <row r="13" ht="13.2" customHeight="1">
      <c r="A13" s="3" t="inlineStr">
        <is>
          <t>Push Hombro</t>
        </is>
      </c>
      <c r="B13" s="4" t="n">
        <v>0</v>
      </c>
      <c r="C13" s="4" t="n">
        <v>41</v>
      </c>
      <c r="D13" s="4" t="n">
        <v>0</v>
      </c>
      <c r="E13" s="4">
        <f>INDEX($B$1:$D$1, MATCH(MAX(B13:D13), B13:D13, 0))</f>
        <v/>
      </c>
      <c r="F13" s="4">
        <f>INDEX($B$1:$D$1, MATCH(MIN(B13:D13), B13:D13, 0))</f>
        <v/>
      </c>
      <c r="G13" s="5">
        <f>(MAX(B13:D13))/$B$17</f>
        <v/>
      </c>
      <c r="H13" s="5" t="n"/>
      <c r="I13" s="5" t="n"/>
    </row>
    <row r="14">
      <c r="C14" s="6" t="n"/>
    </row>
    <row r="15">
      <c r="A15" s="6" t="inlineStr">
        <is>
          <t xml:space="preserve">Jalon al pecho? </t>
        </is>
      </c>
    </row>
    <row r="17">
      <c r="A17" s="6" t="inlineStr">
        <is>
          <t xml:space="preserve">Hito 1 Carlitos (Actualizable) </t>
        </is>
      </c>
      <c r="B17" s="7" t="n">
        <v>68</v>
      </c>
    </row>
  </sheetData>
  <conditionalFormatting sqref="B13:D13">
    <cfRule type="expression" priority="1" dxfId="1">
      <formula>AND(ISNUMBER(B13:D23),B13:D23&gt;$B$17)</formula>
    </cfRule>
    <cfRule type="expression" priority="2" dxfId="0">
      <formula>ISTEXT(B13:D23)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2026-03-11T20:20:26Z</dcterms:created>
  <dcterms:modified xsi:type="dcterms:W3CDTF">2026-03-13T01:20:44Z</dcterms:modified>
  <cp:lastModifiedBy>Carlos Fernández Navarro</cp:lastModifiedBy>
</cp:coreProperties>
</file>